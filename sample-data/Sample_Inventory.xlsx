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15300" windowHeight="7875" tabRatio="500" firstSheet="0" activeTab="0" autoFilterDateGrouping="1"/>
  </bookViews>
  <sheets>
    <sheet name="Inventor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;&quot;(₹&quot;#,##0\);\-"/>
  </numFmts>
  <fonts count="9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b val="1"/>
      <color rgb="FFFFFFFF"/>
      <sz val="11"/>
    </font>
    <font>
      <name val="Arial"/>
      <charset val="1"/>
      <color rgb="FF0000FF"/>
      <sz val="11"/>
    </font>
    <font>
      <name val="Arial"/>
      <charset val="1"/>
      <color rgb="FF000000"/>
      <sz val="11"/>
    </font>
    <font>
      <name val="Arial"/>
      <charset val="1"/>
      <b val="1"/>
      <sz val="11"/>
    </font>
    <font>
      <name val="Arial"/>
      <charset val="1"/>
      <b val="1"/>
      <sz val="10"/>
    </font>
    <font>
      <name val="Arial"/>
      <charset val="1"/>
      <i val="1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3" fontId="3" fillId="0" borderId="1" applyAlignment="1" pivotButton="0" quotePrefix="0" xfId="0">
      <alignment horizontal="center"/>
    </xf>
    <xf numFmtId="164" fontId="4" fillId="0" borderId="1" pivotButton="0" quotePrefix="0" xfId="0"/>
    <xf numFmtId="0" fontId="5" fillId="3" borderId="1" pivotButton="0" quotePrefix="0" xfId="0"/>
    <xf numFmtId="3" fontId="5" fillId="3" borderId="1" applyAlignment="1" pivotButton="0" quotePrefix="0" xfId="0">
      <alignment horizontal="center"/>
    </xf>
    <xf numFmtId="164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1">
    <dxf>
      <font>
        <name val="Arial"/>
        <charset val="1"/>
        <b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Unknown Author</author>
  </authors>
  <commentList>
    <comment ref="F3" authorId="0" shapeId="0">
      <text>
        <t>Profit = (Sell Price − Purchase Price) × Sale Count, i.e. total profit earned from units sold so far.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tabSelected="1" zoomScaleNormal="100" workbookViewId="0">
      <pane ySplit="3" topLeftCell="A7" activePane="bottomLeft" state="frozen"/>
      <selection pane="bottomLeft" activeCell="F16" sqref="F16"/>
    </sheetView>
  </sheetViews>
  <sheetFormatPr baseColWidth="8" defaultColWidth="8.7109375" defaultRowHeight="15"/>
  <cols>
    <col width="32" customWidth="1" min="1" max="1"/>
    <col width="24" customWidth="1" min="2" max="2"/>
    <col width="20" customWidth="1" min="3" max="3"/>
    <col width="16" customWidth="1" min="4" max="4"/>
    <col width="12" customWidth="1" min="5" max="5"/>
    <col width="16" customWidth="1" min="6" max="6"/>
    <col width="10" customWidth="1" min="7" max="7"/>
  </cols>
  <sheetData>
    <row r="1" ht="18" customHeight="1">
      <c r="A1" s="1" t="inlineStr">
        <is>
          <t>Zach Store – Inventory Tracker (SAMPLE DATA)</t>
        </is>
      </c>
    </row>
    <row r="3" ht="30" customHeight="1">
      <c r="A3" s="2" t="inlineStr">
        <is>
          <t>Model Name</t>
        </is>
      </c>
      <c r="B3" s="2" t="inlineStr">
        <is>
          <t>Type</t>
        </is>
      </c>
      <c r="C3" s="2" t="inlineStr">
        <is>
          <t>Purchase Price (₹)</t>
        </is>
      </c>
      <c r="D3" s="2" t="inlineStr">
        <is>
          <t>Sell Price (₹)</t>
        </is>
      </c>
      <c r="E3" s="2" t="inlineStr">
        <is>
          <t>Sale Count</t>
        </is>
      </c>
      <c r="F3" s="2" t="inlineStr">
        <is>
          <t>Profit (₹)</t>
        </is>
      </c>
      <c r="G3" s="2" t="inlineStr">
        <is>
          <t>Stock</t>
        </is>
      </c>
    </row>
    <row r="4">
      <c r="A4" s="3" t="inlineStr">
        <is>
          <t>Redmi Note 13 5G</t>
        </is>
      </c>
      <c r="B4" s="3" t="inlineStr">
        <is>
          <t>Cell Phone</t>
        </is>
      </c>
      <c r="C4" s="4" t="n">
        <v>15300</v>
      </c>
      <c r="D4" s="4" t="n">
        <v>17999</v>
      </c>
      <c r="E4" s="5" t="n">
        <v>12</v>
      </c>
      <c r="F4" s="6">
        <f>(D4-C4)*E4</f>
        <v/>
      </c>
      <c r="G4" s="5" t="n">
        <v>18</v>
      </c>
    </row>
    <row r="5">
      <c r="A5" s="3" t="inlineStr">
        <is>
          <t>Samsung Galaxy M35</t>
        </is>
      </c>
      <c r="B5" s="3" t="inlineStr">
        <is>
          <t>Cell Phone</t>
        </is>
      </c>
      <c r="C5" s="4" t="n">
        <v>16570</v>
      </c>
      <c r="D5" s="4" t="n">
        <v>19499</v>
      </c>
      <c r="E5" s="5" t="n">
        <v>8</v>
      </c>
      <c r="F5" s="6">
        <f>(D5-C5)*E5</f>
        <v/>
      </c>
      <c r="G5" s="5" t="n">
        <v>10</v>
      </c>
    </row>
    <row r="6">
      <c r="A6" s="3" t="inlineStr">
        <is>
          <t>iPhone 15 (128GB)</t>
        </is>
      </c>
      <c r="B6" s="3" t="inlineStr">
        <is>
          <t>Cell Phone</t>
        </is>
      </c>
      <c r="C6" s="4" t="n">
        <v>56860</v>
      </c>
      <c r="D6" s="4" t="n">
        <v>66900</v>
      </c>
      <c r="E6" s="5" t="n">
        <v>3</v>
      </c>
      <c r="F6" s="6">
        <f>(D6-C6)*E6</f>
        <v/>
      </c>
      <c r="G6" s="5" t="n">
        <v>4</v>
      </c>
    </row>
    <row r="7">
      <c r="A7" s="3" t="inlineStr">
        <is>
          <t>MUSONY W1</t>
        </is>
      </c>
      <c r="B7" s="3" t="inlineStr">
        <is>
          <t>Laptop</t>
        </is>
      </c>
      <c r="C7" s="4" t="n">
        <v>38240</v>
      </c>
      <c r="D7" s="4" t="n">
        <v>44990</v>
      </c>
      <c r="E7" s="5" t="n">
        <v>4</v>
      </c>
      <c r="F7" s="6">
        <f>(D7-C7)*E7</f>
        <v/>
      </c>
      <c r="G7" s="5" t="n">
        <v>12</v>
      </c>
    </row>
    <row r="8">
      <c r="A8" s="3" t="inlineStr">
        <is>
          <t>HP 15s Ryzen 5</t>
        </is>
      </c>
      <c r="B8" s="3" t="inlineStr">
        <is>
          <t>Laptop</t>
        </is>
      </c>
      <c r="C8" s="4" t="n">
        <v>39520</v>
      </c>
      <c r="D8" s="4" t="n">
        <v>46490</v>
      </c>
      <c r="E8" s="5" t="n">
        <v>3</v>
      </c>
      <c r="F8" s="6">
        <f>(D8-C8)*E8</f>
        <v/>
      </c>
      <c r="G8" s="5" t="n">
        <v>5</v>
      </c>
    </row>
    <row r="9">
      <c r="A9" s="3" t="inlineStr">
        <is>
          <t>Lenovo IdeaPad Slim 3</t>
        </is>
      </c>
      <c r="B9" s="3" t="inlineStr">
        <is>
          <t>Laptop</t>
        </is>
      </c>
      <c r="C9" s="4" t="n">
        <v>34840</v>
      </c>
      <c r="D9" s="4" t="n">
        <v>40990</v>
      </c>
      <c r="E9" s="5" t="n">
        <v>2</v>
      </c>
      <c r="F9" s="6">
        <f>(D9-C9)*E9</f>
        <v/>
      </c>
      <c r="G9" s="5" t="n">
        <v>8</v>
      </c>
    </row>
    <row r="10">
      <c r="A10" s="3" t="inlineStr">
        <is>
          <t>boAt Airdopes 141</t>
        </is>
      </c>
      <c r="B10" s="3" t="inlineStr">
        <is>
          <t>Accessories</t>
        </is>
      </c>
      <c r="C10" s="4" t="n">
        <v>1100</v>
      </c>
      <c r="D10" s="4" t="n">
        <v>1299</v>
      </c>
      <c r="E10" s="5" t="n">
        <v>30</v>
      </c>
      <c r="F10" s="6">
        <f>(D10-C10)*E10</f>
        <v/>
      </c>
      <c r="G10" s="5" t="n">
        <v>45</v>
      </c>
    </row>
    <row r="11">
      <c r="A11" s="3" t="inlineStr">
        <is>
          <t>Anker 20W Fast Charger</t>
        </is>
      </c>
      <c r="B11" s="3" t="inlineStr">
        <is>
          <t>Accessories</t>
        </is>
      </c>
      <c r="C11" s="4" t="n">
        <v>930</v>
      </c>
      <c r="D11" s="4" t="n">
        <v>1099</v>
      </c>
      <c r="E11" s="5" t="n">
        <v>25</v>
      </c>
      <c r="F11" s="6">
        <f>(D11-C11)*E11</f>
        <v/>
      </c>
      <c r="G11" s="5" t="n">
        <v>30</v>
      </c>
    </row>
    <row r="12">
      <c r="A12" s="3" t="inlineStr">
        <is>
          <t>Logitech M331 Wireless Mouse</t>
        </is>
      </c>
      <c r="B12" s="3" t="inlineStr">
        <is>
          <t>Accessories</t>
        </is>
      </c>
      <c r="C12" s="4" t="n">
        <v>1020</v>
      </c>
      <c r="D12" s="4" t="n">
        <v>1195</v>
      </c>
      <c r="E12" s="5" t="n">
        <v>18</v>
      </c>
      <c r="F12" s="6">
        <f>(D12-C12)*E12</f>
        <v/>
      </c>
      <c r="G12" s="5" t="n">
        <v>22</v>
      </c>
    </row>
    <row r="13">
      <c r="A13" s="3" t="inlineStr">
        <is>
          <t>Tempered Glass Screen Guard</t>
        </is>
      </c>
      <c r="B13" s="3" t="inlineStr">
        <is>
          <t>Other / Miscellaneous</t>
        </is>
      </c>
      <c r="C13" s="4" t="n">
        <v>170</v>
      </c>
      <c r="D13" s="4" t="n">
        <v>199</v>
      </c>
      <c r="E13" s="5" t="n">
        <v>80</v>
      </c>
      <c r="F13" s="6">
        <f>(D13-C13)*E13</f>
        <v/>
      </c>
      <c r="G13" s="5" t="n">
        <v>200</v>
      </c>
    </row>
    <row r="14">
      <c r="A14" s="3" t="n"/>
      <c r="B14" s="3" t="n"/>
      <c r="C14" s="4" t="n"/>
      <c r="D14" s="4" t="n"/>
      <c r="E14" s="5" t="n"/>
      <c r="F14" s="6">
        <f>IF(OR(C14="",D14="",E14=""),"",(D14-C14)*E14)</f>
        <v/>
      </c>
      <c r="G14" s="5" t="n"/>
    </row>
    <row r="15">
      <c r="A15" s="3" t="n"/>
      <c r="B15" s="3" t="n"/>
      <c r="C15" s="4" t="n"/>
      <c r="D15" s="4" t="n"/>
      <c r="E15" s="5" t="n"/>
      <c r="F15" s="6">
        <f>IF(OR(C15="",D15="",E15=""),"",(D15-C15)*E15)</f>
        <v/>
      </c>
      <c r="G15" s="5" t="n"/>
    </row>
    <row r="16">
      <c r="A16" s="3" t="n"/>
      <c r="B16" s="3" t="n"/>
      <c r="C16" s="4" t="n"/>
      <c r="D16" s="4" t="n"/>
      <c r="E16" s="5" t="n"/>
      <c r="F16" s="6">
        <f>IF(OR(C16="",D16="",E16=""),"",(D16-C16)*E16)</f>
        <v/>
      </c>
      <c r="G16" s="5" t="n"/>
    </row>
    <row r="17">
      <c r="A17" s="3" t="n"/>
      <c r="B17" s="3" t="n"/>
      <c r="C17" s="4" t="n"/>
      <c r="D17" s="4" t="n"/>
      <c r="E17" s="5" t="n"/>
      <c r="F17" s="6">
        <f>IF(OR(C17="",D17="",E17=""),"",(D17-C17)*E17)</f>
        <v/>
      </c>
      <c r="G17" s="5" t="n"/>
    </row>
    <row r="18">
      <c r="A18" s="3" t="n"/>
      <c r="B18" s="3" t="n"/>
      <c r="C18" s="4" t="n"/>
      <c r="D18" s="4" t="n"/>
      <c r="E18" s="5" t="n"/>
      <c r="F18" s="6">
        <f>IF(OR(C18="",D18="",E18=""),"",(D18-C18)*E18)</f>
        <v/>
      </c>
      <c r="G18" s="5" t="n"/>
    </row>
    <row r="19">
      <c r="A19" s="3" t="n"/>
      <c r="B19" s="3" t="n"/>
      <c r="C19" s="4" t="n"/>
      <c r="D19" s="4" t="n"/>
      <c r="E19" s="5" t="n"/>
      <c r="F19" s="6">
        <f>IF(OR(C19="",D19="",E19=""),"",(D19-C19)*E19)</f>
        <v/>
      </c>
      <c r="G19" s="5" t="n"/>
    </row>
    <row r="20">
      <c r="A20" s="3" t="n"/>
      <c r="B20" s="3" t="n"/>
      <c r="C20" s="4" t="n"/>
      <c r="D20" s="4" t="n"/>
      <c r="E20" s="5" t="n"/>
      <c r="F20" s="6">
        <f>IF(OR(C20="",D20="",E20=""),"",(D20-C20)*E20)</f>
        <v/>
      </c>
      <c r="G20" s="5" t="n"/>
    </row>
    <row r="21">
      <c r="A21" s="3" t="n"/>
      <c r="B21" s="3" t="n"/>
      <c r="C21" s="4" t="n"/>
      <c r="D21" s="4" t="n"/>
      <c r="E21" s="5" t="n"/>
      <c r="F21" s="6">
        <f>IF(OR(C21="",D21="",E21=""),"",(D21-C21)*E21)</f>
        <v/>
      </c>
      <c r="G21" s="5" t="n"/>
    </row>
    <row r="22">
      <c r="A22" s="3" t="n"/>
      <c r="B22" s="3" t="n"/>
      <c r="C22" s="4" t="n"/>
      <c r="D22" s="4" t="n"/>
      <c r="E22" s="5" t="n"/>
      <c r="F22" s="6">
        <f>IF(OR(C22="",D22="",E22=""),"",(D22-C22)*E22)</f>
        <v/>
      </c>
      <c r="G22" s="5" t="n"/>
    </row>
    <row r="23">
      <c r="A23" s="3" t="n"/>
      <c r="B23" s="3" t="n"/>
      <c r="C23" s="4" t="n"/>
      <c r="D23" s="4" t="n"/>
      <c r="E23" s="5" t="n"/>
      <c r="F23" s="6">
        <f>IF(OR(C23="",D23="",E23=""),"",(D23-C23)*E23)</f>
        <v/>
      </c>
      <c r="G23" s="5" t="n"/>
    </row>
    <row r="24">
      <c r="A24" s="3" t="n"/>
      <c r="B24" s="3" t="n"/>
      <c r="C24" s="4" t="n"/>
      <c r="D24" s="4" t="n"/>
      <c r="E24" s="5" t="n"/>
      <c r="F24" s="6">
        <f>IF(OR(C24="",D24="",E24=""),"",(D24-C24)*E24)</f>
        <v/>
      </c>
      <c r="G24" s="5" t="n"/>
    </row>
    <row r="25">
      <c r="A25" s="3" t="n"/>
      <c r="B25" s="3" t="n"/>
      <c r="C25" s="4" t="n"/>
      <c r="D25" s="4" t="n"/>
      <c r="E25" s="5" t="n"/>
      <c r="F25" s="6">
        <f>IF(OR(C25="",D25="",E25=""),"",(D25-C25)*E25)</f>
        <v/>
      </c>
      <c r="G25" s="5" t="n"/>
    </row>
    <row r="26">
      <c r="A26" s="3" t="n"/>
      <c r="B26" s="3" t="n"/>
      <c r="C26" s="4" t="n"/>
      <c r="D26" s="4" t="n"/>
      <c r="E26" s="5" t="n"/>
      <c r="F26" s="6">
        <f>IF(OR(C26="",D26="",E26=""),"",(D26-C26)*E26)</f>
        <v/>
      </c>
      <c r="G26" s="5" t="n"/>
    </row>
    <row r="27">
      <c r="A27" s="3" t="n"/>
      <c r="B27" s="3" t="n"/>
      <c r="C27" s="4" t="n"/>
      <c r="D27" s="4" t="n"/>
      <c r="E27" s="5" t="n"/>
      <c r="F27" s="6">
        <f>IF(OR(C27="",D27="",E27=""),"",(D27-C27)*E27)</f>
        <v/>
      </c>
      <c r="G27" s="5" t="n"/>
    </row>
    <row r="28">
      <c r="A28" s="3" t="n"/>
      <c r="B28" s="3" t="n"/>
      <c r="C28" s="4" t="n"/>
      <c r="D28" s="4" t="n"/>
      <c r="E28" s="5" t="n"/>
      <c r="F28" s="6">
        <f>IF(OR(C28="",D28="",E28=""),"",(D28-C28)*E28)</f>
        <v/>
      </c>
      <c r="G28" s="5" t="n"/>
    </row>
    <row r="29">
      <c r="A29" s="7" t="inlineStr">
        <is>
          <t>TOTAL</t>
        </is>
      </c>
      <c r="B29" s="7" t="n"/>
      <c r="C29" s="7" t="n"/>
      <c r="D29" s="7" t="n"/>
      <c r="E29" s="8">
        <f>SUM(E4:E28)</f>
        <v/>
      </c>
      <c r="F29" s="9">
        <f>SUM(F4:F28)</f>
        <v/>
      </c>
      <c r="G29" s="8">
        <f>SUM(G4:G28)</f>
        <v/>
      </c>
    </row>
    <row r="31">
      <c r="A31" s="10" t="inlineStr">
        <is>
          <t>How to use</t>
        </is>
      </c>
    </row>
    <row r="32">
      <c r="A32" s="11" t="inlineStr">
        <is>
          <t>• Blue cells are yours to edit: model, type (dropdown), prices, sale count, stock. Black cells are formulas – don't overwrite.</t>
        </is>
      </c>
    </row>
    <row r="33">
      <c r="A33" s="11" t="inlineStr">
        <is>
          <t>• Profit (₹) = (Sell Price − Purchase Price) × Sale Count (total profit from units sold so far).</t>
        </is>
      </c>
    </row>
    <row r="34">
      <c r="A34" s="11" t="inlineStr">
        <is>
          <t>• Red stock cells = 5 units or fewer left, time to restock.</t>
        </is>
      </c>
    </row>
    <row r="35">
      <c r="A35" s="11" t="inlineStr">
        <is>
          <t>• Add new items in the empty rows above the TOTAL row; the profit formula is already filled in.</t>
        </is>
      </c>
    </row>
    <row r="36">
      <c r="A36" s="11" t="inlineStr">
        <is>
          <t>• All numbers in this file are demo values for showcasing the tool.</t>
        </is>
      </c>
    </row>
  </sheetData>
  <mergeCells count="1">
    <mergeCell ref="A1:G1"/>
  </mergeCells>
  <conditionalFormatting sqref="G4:G28">
    <cfRule type="cellIs" priority="2" operator="between" dxfId="0">
      <formula>0</formula>
      <formula>5</formula>
    </cfRule>
  </conditionalFormatting>
  <dataValidations count="1">
    <dataValidation sqref="B4:B28" showDropDown="0" showInputMessage="0" showErrorMessage="0" allowBlank="1" type="list">
      <formula1>"Cell Phone,Laptop,Accessories,Other / Miscellaneous"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Store (sample)</dc:creator>
  <dc:language>en-US</dc:language>
  <dcterms:created xsi:type="dcterms:W3CDTF">2026-10-16T18:20:48Z</dcterms:created>
  <dcterms:modified xsi:type="dcterms:W3CDTF">2026-10-17T18:44:05Z</dcterms:modified>
  <cp:lastModifiedBy>Zach Store (sample)</cp:lastModifiedBy>
  <cp:revision>0</cp:revision>
</cp:coreProperties>
</file>